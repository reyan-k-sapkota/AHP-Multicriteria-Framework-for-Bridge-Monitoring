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lticriteria Framework for bridge\"/>
    </mc:Choice>
  </mc:AlternateContent>
  <xr:revisionPtr revIDLastSave="0" documentId="8_{A1DB28DB-33D1-4E88-BB14-FEB9082B9197}" xr6:coauthVersionLast="47" xr6:coauthVersionMax="47" xr10:uidLastSave="{00000000-0000-0000-0000-000000000000}"/>
  <bookViews>
    <workbookView xWindow="-108" yWindow="-108" windowWidth="23256" windowHeight="12456" activeTab="2" xr2:uid="{108A0886-656B-4A79-9AFF-5819DF294E92}"/>
  </bookViews>
  <sheets>
    <sheet name="For Structural Indicators" sheetId="1" r:id="rId1"/>
    <sheet name="For Strategic Indicators" sheetId="2" r:id="rId2"/>
    <sheet name="Structural Vs Strateg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1" i="3" l="1"/>
  <c r="L11" i="3"/>
  <c r="L12" i="3"/>
  <c r="L13" i="3"/>
  <c r="L14" i="3"/>
  <c r="L15" i="3"/>
  <c r="L16" i="3"/>
  <c r="L17" i="3"/>
  <c r="L18" i="3"/>
  <c r="L19" i="3"/>
  <c r="L20" i="3"/>
  <c r="L10" i="3"/>
  <c r="D12" i="3"/>
  <c r="D24" i="2"/>
  <c r="D16" i="2"/>
  <c r="D31" i="1"/>
  <c r="I23" i="1"/>
  <c r="D23" i="1"/>
</calcChain>
</file>

<file path=xl/sharedStrings.xml><?xml version="1.0" encoding="utf-8"?>
<sst xmlns="http://schemas.openxmlformats.org/spreadsheetml/2006/main" count="157" uniqueCount="58">
  <si>
    <t>S1</t>
  </si>
  <si>
    <t>Material degradation</t>
  </si>
  <si>
    <t>S2</t>
  </si>
  <si>
    <t>Foundation/scour vulnerability</t>
  </si>
  <si>
    <t>S3</t>
  </si>
  <si>
    <t>Structural deformation</t>
  </si>
  <si>
    <t>S4</t>
  </si>
  <si>
    <t>Joint condition</t>
  </si>
  <si>
    <t>S5</t>
  </si>
  <si>
    <t>Deck integrity</t>
  </si>
  <si>
    <t>S6</t>
  </si>
  <si>
    <t>Live load response</t>
  </si>
  <si>
    <t>S7</t>
  </si>
  <si>
    <t>Environmental exposure</t>
  </si>
  <si>
    <t xml:space="preserve">AHP matrix, where each cell's value is calculated as the geometric mean of all 173 responses. This is called the Aggregate Individual Judgments (AIJ) method. </t>
  </si>
  <si>
    <t>Weights</t>
  </si>
  <si>
    <t>AHP MATRIX</t>
  </si>
  <si>
    <t>SUM OF WEIGHTS</t>
  </si>
  <si>
    <t>Equals to 1. OK</t>
  </si>
  <si>
    <t>Remarks</t>
  </si>
  <si>
    <t>From EigenVector Method (we will follow this method for our paper)</t>
  </si>
  <si>
    <t>From Column Normalization Method (This was followed in Sir's previous paper; for Shankamul Bridge)</t>
  </si>
  <si>
    <t>CONSISTENCY CHECK RESULTS</t>
  </si>
  <si>
    <t>Value</t>
  </si>
  <si>
    <t>Parameter</t>
  </si>
  <si>
    <t>CR = CI/RI</t>
  </si>
  <si>
    <t>Consistency Index (CI)</t>
  </si>
  <si>
    <t>Saaty's Random Index (RI) for 7x7 matrix</t>
  </si>
  <si>
    <t>lambda max (max real value eigen value)</t>
  </si>
  <si>
    <t>&lt;0.10. okay</t>
  </si>
  <si>
    <t>G1</t>
  </si>
  <si>
    <t>G2</t>
  </si>
  <si>
    <t>Stratgeic Indicators</t>
  </si>
  <si>
    <t>G3</t>
  </si>
  <si>
    <t>G4</t>
  </si>
  <si>
    <t>Traffic volume &amp; network criticality</t>
  </si>
  <si>
    <t>Redundancy; availability of alternate routes</t>
  </si>
  <si>
    <t>Socioeconomic importance of served area</t>
  </si>
  <si>
    <t>Role in disaster response / emergency access</t>
  </si>
  <si>
    <t>Saaty's Random Index (RI) for 4x4 matrix</t>
  </si>
  <si>
    <t>Structural</t>
  </si>
  <si>
    <t>Strategic</t>
  </si>
  <si>
    <t>AHP Matrix by Geometric mean method</t>
  </si>
  <si>
    <t>A1</t>
  </si>
  <si>
    <t>A2</t>
  </si>
  <si>
    <t xml:space="preserve">Structural </t>
  </si>
  <si>
    <t>global weights = local weight x category weight</t>
  </si>
  <si>
    <t>w_struct and w_strat</t>
  </si>
  <si>
    <t>Indicator</t>
  </si>
  <si>
    <t>Calculation of Global weight</t>
  </si>
  <si>
    <t>Category</t>
  </si>
  <si>
    <t>Local Weight</t>
  </si>
  <si>
    <t>w_strut or w_strat</t>
  </si>
  <si>
    <t>Global weight</t>
  </si>
  <si>
    <t>S.N</t>
  </si>
  <si>
    <t>SUM</t>
  </si>
  <si>
    <t>global_struct = weights_struct * w_structural     # 7 structural indicators</t>
  </si>
  <si>
    <t>global_strat  = weights_strat  * w_strategic      # 4 strategic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</si>
</sst>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0" fillId="0" borderId="2" xfId="0" applyBorder="1"/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4" fillId="0" borderId="2" xfId="0" applyFont="1" applyBorder="1"/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2" fillId="0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Fill="1" applyBorder="1"/>
    <xf numFmtId="0" fontId="3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0D4D-C196-446E-8B5E-C99617B0F150}">
  <dimension ref="A2:J31"/>
  <sheetViews>
    <sheetView topLeftCell="A4" workbookViewId="0">
      <selection activeCell="D16" sqref="D16:D22"/>
    </sheetView>
  </sheetViews>
  <sheetFormatPr defaultRowHeight="14.4" x14ac:dyDescent="0.3"/>
  <cols>
    <col min="3" max="3" width="33.77734375" customWidth="1"/>
    <col min="4" max="4" width="17.77734375" customWidth="1"/>
    <col min="5" max="5" width="25.5546875" customWidth="1"/>
    <col min="6" max="6" width="19.77734375" customWidth="1"/>
    <col min="7" max="7" width="13.44140625" customWidth="1"/>
    <col min="8" max="8" width="21.44140625" customWidth="1"/>
    <col min="9" max="9" width="17.109375" customWidth="1"/>
    <col min="10" max="10" width="25.77734375" customWidth="1"/>
  </cols>
  <sheetData>
    <row r="2" spans="1:10" ht="66" customHeight="1" x14ac:dyDescent="0.3">
      <c r="B2" s="4"/>
      <c r="C2" s="12" t="s">
        <v>16</v>
      </c>
      <c r="D2" s="9" t="s">
        <v>14</v>
      </c>
      <c r="E2" s="9"/>
      <c r="F2" s="9"/>
      <c r="G2" s="9"/>
      <c r="H2" s="9"/>
      <c r="I2" s="9"/>
      <c r="J2" s="9"/>
    </row>
    <row r="3" spans="1:10" ht="21.6" customHeight="1" x14ac:dyDescent="0.3">
      <c r="A3" s="2"/>
      <c r="B3" s="4"/>
      <c r="C3" s="4"/>
      <c r="D3" s="10" t="s">
        <v>1</v>
      </c>
      <c r="E3" s="10" t="s">
        <v>3</v>
      </c>
      <c r="F3" s="10" t="s">
        <v>5</v>
      </c>
      <c r="G3" s="10" t="s">
        <v>7</v>
      </c>
      <c r="H3" s="10" t="s">
        <v>9</v>
      </c>
      <c r="I3" s="10" t="s">
        <v>11</v>
      </c>
      <c r="J3" s="10" t="s">
        <v>13</v>
      </c>
    </row>
    <row r="4" spans="1:10" ht="15.6" x14ac:dyDescent="0.3">
      <c r="B4" s="5" t="s">
        <v>0</v>
      </c>
      <c r="C4" s="6" t="s">
        <v>1</v>
      </c>
      <c r="D4" s="11">
        <v>1</v>
      </c>
      <c r="E4" s="5">
        <v>1.9387000000000001</v>
      </c>
      <c r="F4" s="5">
        <v>1.4773000000000001</v>
      </c>
      <c r="G4" s="5">
        <v>2.0274000000000001</v>
      </c>
      <c r="H4" s="5">
        <v>1.9653</v>
      </c>
      <c r="I4" s="5">
        <v>2.0817000000000001</v>
      </c>
      <c r="J4" s="5">
        <v>2.5579000000000001</v>
      </c>
    </row>
    <row r="5" spans="1:10" ht="15.6" customHeight="1" x14ac:dyDescent="0.3">
      <c r="B5" s="5" t="s">
        <v>2</v>
      </c>
      <c r="C5" s="6" t="s">
        <v>3</v>
      </c>
      <c r="D5" s="5">
        <v>0.51580000000000004</v>
      </c>
      <c r="E5" s="11">
        <v>1</v>
      </c>
      <c r="F5" s="5">
        <v>1.4011</v>
      </c>
      <c r="G5" s="5">
        <v>1.2098</v>
      </c>
      <c r="H5" s="5">
        <v>1.8362000000000001</v>
      </c>
      <c r="I5" s="5">
        <v>1.2657</v>
      </c>
      <c r="J5" s="5">
        <v>2.25</v>
      </c>
    </row>
    <row r="6" spans="1:10" ht="15.6" x14ac:dyDescent="0.3">
      <c r="B6" s="5" t="s">
        <v>4</v>
      </c>
      <c r="C6" s="6" t="s">
        <v>5</v>
      </c>
      <c r="D6" s="5">
        <v>0.67689999999999995</v>
      </c>
      <c r="E6" s="5">
        <v>0.7137</v>
      </c>
      <c r="F6" s="11">
        <v>1</v>
      </c>
      <c r="G6" s="5">
        <v>1.3281000000000001</v>
      </c>
      <c r="H6" s="5">
        <v>2.1191</v>
      </c>
      <c r="I6" s="5">
        <v>2.2349000000000001</v>
      </c>
      <c r="J6" s="5">
        <v>2.5337000000000001</v>
      </c>
    </row>
    <row r="7" spans="1:10" ht="15.6" x14ac:dyDescent="0.3">
      <c r="B7" s="5" t="s">
        <v>6</v>
      </c>
      <c r="C7" s="6" t="s">
        <v>7</v>
      </c>
      <c r="D7" s="5">
        <v>0.49320000000000003</v>
      </c>
      <c r="E7" s="5">
        <v>0.8266</v>
      </c>
      <c r="F7" s="5">
        <v>0.753</v>
      </c>
      <c r="G7" s="11">
        <v>1</v>
      </c>
      <c r="H7" s="5">
        <v>1.2861</v>
      </c>
      <c r="I7" s="5">
        <v>1.2722</v>
      </c>
      <c r="J7" s="5">
        <v>1.2754000000000001</v>
      </c>
    </row>
    <row r="8" spans="1:10" ht="15.6" x14ac:dyDescent="0.3">
      <c r="B8" s="5" t="s">
        <v>8</v>
      </c>
      <c r="C8" s="6" t="s">
        <v>9</v>
      </c>
      <c r="D8" s="5">
        <v>0.50880000000000003</v>
      </c>
      <c r="E8" s="5">
        <v>0.54459999999999997</v>
      </c>
      <c r="F8" s="5">
        <v>0.47189999999999999</v>
      </c>
      <c r="G8" s="5">
        <v>0.77749999999999997</v>
      </c>
      <c r="H8" s="11">
        <v>1</v>
      </c>
      <c r="I8" s="5">
        <v>0.90980000000000005</v>
      </c>
      <c r="J8" s="5">
        <v>1.677</v>
      </c>
    </row>
    <row r="9" spans="1:10" ht="15.6" x14ac:dyDescent="0.3">
      <c r="B9" s="5" t="s">
        <v>10</v>
      </c>
      <c r="C9" s="6" t="s">
        <v>11</v>
      </c>
      <c r="D9" s="5">
        <v>0.48039999999999999</v>
      </c>
      <c r="E9" s="5">
        <v>0.79</v>
      </c>
      <c r="F9" s="5">
        <v>0.44740000000000002</v>
      </c>
      <c r="G9" s="5">
        <v>0.78610000000000002</v>
      </c>
      <c r="H9" s="5">
        <v>1.0992</v>
      </c>
      <c r="I9" s="11">
        <v>1</v>
      </c>
      <c r="J9" s="5">
        <v>2.0466000000000002</v>
      </c>
    </row>
    <row r="10" spans="1:10" ht="15.6" x14ac:dyDescent="0.3">
      <c r="B10" s="5" t="s">
        <v>12</v>
      </c>
      <c r="C10" s="6" t="s">
        <v>13</v>
      </c>
      <c r="D10" s="5">
        <v>0.39090000000000003</v>
      </c>
      <c r="E10" s="5">
        <v>0.44440000000000002</v>
      </c>
      <c r="F10" s="5">
        <v>0.3947</v>
      </c>
      <c r="G10" s="5">
        <v>0.78410000000000002</v>
      </c>
      <c r="H10" s="5">
        <v>0.59630000000000005</v>
      </c>
      <c r="I10" s="5">
        <v>0.48859999999999998</v>
      </c>
      <c r="J10" s="11">
        <v>1</v>
      </c>
    </row>
    <row r="11" spans="1:10" ht="15.6" x14ac:dyDescent="0.3">
      <c r="B11" s="7"/>
      <c r="C11" s="8"/>
    </row>
    <row r="12" spans="1:10" ht="15.6" x14ac:dyDescent="0.3">
      <c r="B12" s="7"/>
      <c r="C12" s="8"/>
    </row>
    <row r="13" spans="1:10" ht="0.6" customHeight="1" x14ac:dyDescent="0.3"/>
    <row r="14" spans="1:10" ht="30.6" customHeight="1" x14ac:dyDescent="0.3">
      <c r="B14" s="13" t="s">
        <v>20</v>
      </c>
      <c r="C14" s="14"/>
      <c r="D14" s="14"/>
      <c r="E14" s="15"/>
      <c r="G14" s="13" t="s">
        <v>21</v>
      </c>
      <c r="H14" s="14"/>
      <c r="I14" s="14"/>
      <c r="J14" s="15"/>
    </row>
    <row r="15" spans="1:10" ht="15.6" x14ac:dyDescent="0.3">
      <c r="B15" s="16"/>
      <c r="C15" s="16"/>
      <c r="D15" s="17" t="s">
        <v>15</v>
      </c>
      <c r="E15" s="16" t="s">
        <v>19</v>
      </c>
      <c r="G15" s="16"/>
      <c r="H15" s="16"/>
      <c r="I15" s="17" t="s">
        <v>15</v>
      </c>
      <c r="J15" s="16" t="s">
        <v>19</v>
      </c>
    </row>
    <row r="16" spans="1:10" ht="31.2" x14ac:dyDescent="0.3">
      <c r="B16" s="5" t="s">
        <v>0</v>
      </c>
      <c r="C16" s="5" t="s">
        <v>1</v>
      </c>
      <c r="D16" s="5">
        <v>0.23980000000000001</v>
      </c>
      <c r="E16" s="16"/>
      <c r="G16" s="5" t="s">
        <v>0</v>
      </c>
      <c r="H16" s="5" t="s">
        <v>1</v>
      </c>
      <c r="I16" s="3">
        <v>0.2394</v>
      </c>
      <c r="J16" s="16"/>
    </row>
    <row r="17" spans="2:10" ht="46.8" x14ac:dyDescent="0.3">
      <c r="B17" s="5" t="s">
        <v>2</v>
      </c>
      <c r="C17" s="5" t="s">
        <v>3</v>
      </c>
      <c r="D17" s="5">
        <v>0.16719999999999999</v>
      </c>
      <c r="E17" s="16"/>
      <c r="G17" s="5" t="s">
        <v>2</v>
      </c>
      <c r="H17" s="5" t="s">
        <v>3</v>
      </c>
      <c r="I17" s="3">
        <v>0.1666</v>
      </c>
      <c r="J17" s="16"/>
    </row>
    <row r="18" spans="2:10" ht="31.2" x14ac:dyDescent="0.3">
      <c r="B18" s="5" t="s">
        <v>4</v>
      </c>
      <c r="C18" s="5" t="s">
        <v>5</v>
      </c>
      <c r="D18" s="5">
        <v>0.1802</v>
      </c>
      <c r="E18" s="16"/>
      <c r="G18" s="5" t="s">
        <v>4</v>
      </c>
      <c r="H18" s="5" t="s">
        <v>5</v>
      </c>
      <c r="I18" s="3">
        <v>0.18029999999999999</v>
      </c>
      <c r="J18" s="16"/>
    </row>
    <row r="19" spans="2:10" ht="31.2" x14ac:dyDescent="0.3">
      <c r="B19" s="5" t="s">
        <v>6</v>
      </c>
      <c r="C19" s="5" t="s">
        <v>7</v>
      </c>
      <c r="D19" s="5">
        <v>0.1244</v>
      </c>
      <c r="E19" s="16"/>
      <c r="G19" s="5" t="s">
        <v>6</v>
      </c>
      <c r="H19" s="5" t="s">
        <v>7</v>
      </c>
      <c r="I19" s="3">
        <v>0.1242</v>
      </c>
      <c r="J19" s="16"/>
    </row>
    <row r="20" spans="2:10" ht="31.2" x14ac:dyDescent="0.3">
      <c r="B20" s="5" t="s">
        <v>8</v>
      </c>
      <c r="C20" s="5" t="s">
        <v>9</v>
      </c>
      <c r="D20" s="5">
        <v>0.1017</v>
      </c>
      <c r="E20" s="16"/>
      <c r="G20" s="5" t="s">
        <v>8</v>
      </c>
      <c r="H20" s="5" t="s">
        <v>9</v>
      </c>
      <c r="I20" s="3">
        <v>0.1021</v>
      </c>
      <c r="J20" s="16"/>
    </row>
    <row r="21" spans="2:10" ht="31.2" x14ac:dyDescent="0.3">
      <c r="B21" s="5" t="s">
        <v>10</v>
      </c>
      <c r="C21" s="5" t="s">
        <v>11</v>
      </c>
      <c r="D21" s="5">
        <v>0.11269999999999999</v>
      </c>
      <c r="E21" s="16"/>
      <c r="G21" s="5" t="s">
        <v>10</v>
      </c>
      <c r="H21" s="5" t="s">
        <v>11</v>
      </c>
      <c r="I21" s="3">
        <v>0.11310000000000001</v>
      </c>
      <c r="J21" s="16"/>
    </row>
    <row r="22" spans="2:10" ht="31.2" x14ac:dyDescent="0.3">
      <c r="B22" s="5" t="s">
        <v>12</v>
      </c>
      <c r="C22" s="5" t="s">
        <v>13</v>
      </c>
      <c r="D22" s="5">
        <v>7.3999999999999996E-2</v>
      </c>
      <c r="E22" s="16"/>
      <c r="G22" s="5" t="s">
        <v>12</v>
      </c>
      <c r="H22" s="5" t="s">
        <v>13</v>
      </c>
      <c r="I22" s="3">
        <v>7.4399999999999994E-2</v>
      </c>
      <c r="J22" s="16"/>
    </row>
    <row r="23" spans="2:10" ht="15.6" x14ac:dyDescent="0.3">
      <c r="B23" s="16"/>
      <c r="C23" s="16" t="s">
        <v>17</v>
      </c>
      <c r="D23" s="16">
        <f xml:space="preserve"> SUM(D16:D22)</f>
        <v>1</v>
      </c>
      <c r="E23" s="16" t="s">
        <v>18</v>
      </c>
      <c r="G23" s="16"/>
      <c r="H23" s="16" t="s">
        <v>17</v>
      </c>
      <c r="I23" s="16">
        <f xml:space="preserve"> SUM(I16:I22)</f>
        <v>1.0001</v>
      </c>
      <c r="J23" s="16" t="s">
        <v>18</v>
      </c>
    </row>
    <row r="26" spans="2:10" x14ac:dyDescent="0.3">
      <c r="C26" s="18" t="s">
        <v>22</v>
      </c>
      <c r="D26" s="18"/>
      <c r="E26" s="18"/>
    </row>
    <row r="27" spans="2:10" x14ac:dyDescent="0.3">
      <c r="C27" s="4" t="s">
        <v>24</v>
      </c>
      <c r="D27" s="4" t="s">
        <v>23</v>
      </c>
      <c r="E27" s="4" t="s">
        <v>19</v>
      </c>
    </row>
    <row r="28" spans="2:10" x14ac:dyDescent="0.3">
      <c r="C28" s="4" t="s">
        <v>28</v>
      </c>
      <c r="D28" s="4">
        <v>7.1139000000000001</v>
      </c>
      <c r="E28" s="4"/>
    </row>
    <row r="29" spans="2:10" x14ac:dyDescent="0.3">
      <c r="C29" s="4" t="s">
        <v>26</v>
      </c>
      <c r="D29" s="4">
        <v>1.9E-2</v>
      </c>
      <c r="E29" s="4"/>
    </row>
    <row r="30" spans="2:10" x14ac:dyDescent="0.3">
      <c r="C30" s="4" t="s">
        <v>27</v>
      </c>
      <c r="D30" s="4">
        <v>1.32</v>
      </c>
      <c r="E30" s="4"/>
    </row>
    <row r="31" spans="2:10" x14ac:dyDescent="0.3">
      <c r="C31" s="4" t="s">
        <v>25</v>
      </c>
      <c r="D31" s="4">
        <f xml:space="preserve"> D29/D30</f>
        <v>1.4393939393939393E-2</v>
      </c>
      <c r="E31" s="4" t="s">
        <v>29</v>
      </c>
    </row>
  </sheetData>
  <mergeCells count="4">
    <mergeCell ref="D2:J2"/>
    <mergeCell ref="B14:E14"/>
    <mergeCell ref="G14:J14"/>
    <mergeCell ref="C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BB74-BCB9-4E3D-822F-BA9E3949752F}">
  <dimension ref="B2:J24"/>
  <sheetViews>
    <sheetView workbookViewId="0">
      <selection activeCell="E13" sqref="E13"/>
    </sheetView>
  </sheetViews>
  <sheetFormatPr defaultRowHeight="14.4" x14ac:dyDescent="0.3"/>
  <cols>
    <col min="2" max="2" width="17" customWidth="1"/>
    <col min="3" max="3" width="41.77734375" customWidth="1"/>
    <col min="4" max="4" width="29.77734375" customWidth="1"/>
    <col min="5" max="5" width="31.21875" customWidth="1"/>
    <col min="6" max="6" width="34.6640625" customWidth="1"/>
    <col min="7" max="7" width="42.44140625" customWidth="1"/>
    <col min="8" max="8" width="23.77734375" customWidth="1"/>
  </cols>
  <sheetData>
    <row r="2" spans="2:10" ht="15.6" x14ac:dyDescent="0.3">
      <c r="B2" s="11"/>
      <c r="C2" s="20" t="s">
        <v>16</v>
      </c>
      <c r="D2" s="21" t="s">
        <v>14</v>
      </c>
      <c r="E2" s="21"/>
      <c r="F2" s="21"/>
      <c r="G2" s="21"/>
    </row>
    <row r="3" spans="2:10" ht="31.2" x14ac:dyDescent="0.3">
      <c r="B3" s="11"/>
      <c r="C3" s="11" t="s">
        <v>32</v>
      </c>
      <c r="D3" s="11" t="s">
        <v>35</v>
      </c>
      <c r="E3" s="22" t="s">
        <v>36</v>
      </c>
      <c r="F3" s="22" t="s">
        <v>37</v>
      </c>
      <c r="G3" s="11" t="s">
        <v>38</v>
      </c>
      <c r="H3" s="2"/>
      <c r="I3" s="2"/>
      <c r="J3" s="2"/>
    </row>
    <row r="4" spans="2:10" ht="15.6" x14ac:dyDescent="0.3">
      <c r="B4" s="5" t="s">
        <v>30</v>
      </c>
      <c r="C4" s="11" t="s">
        <v>35</v>
      </c>
      <c r="D4" s="11">
        <v>1</v>
      </c>
      <c r="E4" s="3">
        <v>1.4966999999999999</v>
      </c>
      <c r="F4" s="3">
        <v>1.2271000000000001</v>
      </c>
      <c r="G4" s="3">
        <v>1.1949000000000001</v>
      </c>
      <c r="H4" s="2"/>
      <c r="I4" s="2"/>
      <c r="J4" s="2"/>
    </row>
    <row r="5" spans="2:10" ht="15.6" x14ac:dyDescent="0.3">
      <c r="B5" s="5" t="s">
        <v>31</v>
      </c>
      <c r="C5" s="5" t="s">
        <v>36</v>
      </c>
      <c r="D5" s="3">
        <v>0.66810000000000003</v>
      </c>
      <c r="E5" s="11">
        <v>1</v>
      </c>
      <c r="F5" s="3">
        <v>0.87160000000000004</v>
      </c>
      <c r="G5" s="3">
        <v>0.83209999999999995</v>
      </c>
      <c r="H5" s="2"/>
      <c r="I5" s="2"/>
      <c r="J5" s="2"/>
    </row>
    <row r="6" spans="2:10" ht="15.6" x14ac:dyDescent="0.3">
      <c r="B6" s="5" t="s">
        <v>33</v>
      </c>
      <c r="C6" s="5" t="s">
        <v>37</v>
      </c>
      <c r="D6" s="3">
        <v>0.81489999999999996</v>
      </c>
      <c r="E6" s="3">
        <v>1.1473</v>
      </c>
      <c r="F6" s="11">
        <v>1</v>
      </c>
      <c r="G6" s="3">
        <v>1.1122000000000001</v>
      </c>
      <c r="H6" s="2"/>
      <c r="I6" s="2"/>
      <c r="J6" s="2"/>
    </row>
    <row r="7" spans="2:10" ht="15.6" x14ac:dyDescent="0.3">
      <c r="B7" s="5" t="s">
        <v>34</v>
      </c>
      <c r="C7" s="11" t="s">
        <v>38</v>
      </c>
      <c r="D7" s="3">
        <v>0.83689999999999998</v>
      </c>
      <c r="E7" s="3">
        <v>1.2017</v>
      </c>
      <c r="F7" s="3">
        <v>0.89910000000000001</v>
      </c>
      <c r="G7" s="11">
        <v>1</v>
      </c>
      <c r="H7" s="2"/>
      <c r="I7" s="2"/>
      <c r="J7" s="2"/>
    </row>
    <row r="10" spans="2:10" ht="15.6" x14ac:dyDescent="0.3">
      <c r="B10" s="13" t="s">
        <v>20</v>
      </c>
      <c r="C10" s="14"/>
      <c r="D10" s="14"/>
      <c r="E10" s="15"/>
    </row>
    <row r="11" spans="2:10" ht="15.6" x14ac:dyDescent="0.3">
      <c r="B11" s="16"/>
      <c r="C11" s="16"/>
      <c r="D11" s="17" t="s">
        <v>15</v>
      </c>
      <c r="E11" s="16" t="s">
        <v>19</v>
      </c>
    </row>
    <row r="12" spans="2:10" ht="15.6" x14ac:dyDescent="0.3">
      <c r="B12" s="5" t="s">
        <v>30</v>
      </c>
      <c r="C12" s="11" t="s">
        <v>35</v>
      </c>
      <c r="D12" s="5">
        <v>0.3014</v>
      </c>
      <c r="E12" s="16"/>
    </row>
    <row r="13" spans="2:10" ht="15.6" x14ac:dyDescent="0.3">
      <c r="B13" s="5" t="s">
        <v>31</v>
      </c>
      <c r="C13" s="5" t="s">
        <v>36</v>
      </c>
      <c r="D13" s="5">
        <v>0.20669999999999999</v>
      </c>
      <c r="E13" s="16"/>
    </row>
    <row r="14" spans="2:10" ht="15.6" x14ac:dyDescent="0.3">
      <c r="B14" s="5" t="s">
        <v>33</v>
      </c>
      <c r="C14" s="5" t="s">
        <v>37</v>
      </c>
      <c r="D14" s="5">
        <v>0.25030000000000002</v>
      </c>
      <c r="E14" s="16"/>
    </row>
    <row r="15" spans="2:10" ht="15.6" x14ac:dyDescent="0.3">
      <c r="B15" s="5" t="s">
        <v>34</v>
      </c>
      <c r="C15" s="11" t="s">
        <v>38</v>
      </c>
      <c r="D15" s="5">
        <v>0.24160000000000001</v>
      </c>
      <c r="E15" s="16"/>
    </row>
    <row r="16" spans="2:10" ht="15.6" x14ac:dyDescent="0.3">
      <c r="B16" s="16"/>
      <c r="C16" s="16" t="s">
        <v>17</v>
      </c>
      <c r="D16" s="16">
        <f xml:space="preserve"> SUM(D12:D15)</f>
        <v>1</v>
      </c>
      <c r="E16" s="16" t="s">
        <v>18</v>
      </c>
    </row>
    <row r="19" spans="3:5" x14ac:dyDescent="0.3">
      <c r="C19" s="18" t="s">
        <v>22</v>
      </c>
      <c r="D19" s="18"/>
      <c r="E19" s="18"/>
    </row>
    <row r="20" spans="3:5" x14ac:dyDescent="0.3">
      <c r="C20" s="4" t="s">
        <v>24</v>
      </c>
      <c r="D20" s="4" t="s">
        <v>23</v>
      </c>
      <c r="E20" s="4" t="s">
        <v>19</v>
      </c>
    </row>
    <row r="21" spans="3:5" x14ac:dyDescent="0.3">
      <c r="C21" s="4" t="s">
        <v>28</v>
      </c>
      <c r="D21" s="4">
        <v>4.0029000000000003</v>
      </c>
      <c r="E21" s="4"/>
    </row>
    <row r="22" spans="3:5" x14ac:dyDescent="0.3">
      <c r="C22" s="4" t="s">
        <v>26</v>
      </c>
      <c r="D22" s="4">
        <v>1E-3</v>
      </c>
      <c r="E22" s="4"/>
    </row>
    <row r="23" spans="3:5" x14ac:dyDescent="0.3">
      <c r="C23" s="4" t="s">
        <v>39</v>
      </c>
      <c r="D23" s="4">
        <v>0.9</v>
      </c>
      <c r="E23" s="4"/>
    </row>
    <row r="24" spans="3:5" x14ac:dyDescent="0.3">
      <c r="C24" s="4" t="s">
        <v>25</v>
      </c>
      <c r="D24" s="4">
        <f xml:space="preserve"> D22/D23</f>
        <v>1.1111111111111111E-3</v>
      </c>
      <c r="E24" s="4" t="s">
        <v>29</v>
      </c>
    </row>
  </sheetData>
  <mergeCells count="3">
    <mergeCell ref="D2:G2"/>
    <mergeCell ref="B10:E10"/>
    <mergeCell ref="C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9CA1-BA21-4548-A07F-954768914A4A}">
  <dimension ref="B2:M22"/>
  <sheetViews>
    <sheetView tabSelected="1" topLeftCell="J1" workbookViewId="0">
      <selection activeCell="M17" sqref="M17"/>
    </sheetView>
  </sheetViews>
  <sheetFormatPr defaultRowHeight="14.4" x14ac:dyDescent="0.3"/>
  <cols>
    <col min="3" max="3" width="19" customWidth="1"/>
    <col min="4" max="4" width="29.6640625" customWidth="1"/>
    <col min="5" max="5" width="17.77734375" customWidth="1"/>
    <col min="8" max="8" width="12.109375" customWidth="1"/>
    <col min="9" max="9" width="36.33203125" customWidth="1"/>
    <col min="10" max="10" width="16.33203125" customWidth="1"/>
    <col min="11" max="11" width="18" customWidth="1"/>
    <col min="12" max="12" width="13.44140625" customWidth="1"/>
    <col min="13" max="13" width="16.33203125" customWidth="1"/>
  </cols>
  <sheetData>
    <row r="2" spans="2:13" ht="15.6" x14ac:dyDescent="0.3">
      <c r="B2" s="19"/>
      <c r="C2" s="35" t="s">
        <v>42</v>
      </c>
      <c r="D2" s="35"/>
      <c r="E2" s="1"/>
      <c r="F2" s="1"/>
      <c r="G2" s="1"/>
      <c r="H2" s="28" t="s">
        <v>46</v>
      </c>
      <c r="I2" s="30"/>
      <c r="J2" s="29"/>
      <c r="K2" s="1"/>
      <c r="L2" s="1"/>
      <c r="M2" s="1"/>
    </row>
    <row r="3" spans="2:13" ht="15.6" x14ac:dyDescent="0.3">
      <c r="B3" s="19"/>
      <c r="C3" s="19" t="s">
        <v>40</v>
      </c>
      <c r="D3" s="19" t="s">
        <v>41</v>
      </c>
      <c r="E3" s="1"/>
      <c r="F3" s="1"/>
      <c r="G3" s="1"/>
      <c r="H3" s="31"/>
      <c r="I3" s="32"/>
      <c r="J3" s="33"/>
      <c r="K3" s="1"/>
      <c r="L3" s="1"/>
      <c r="M3" s="1"/>
    </row>
    <row r="4" spans="2:13" ht="15.6" x14ac:dyDescent="0.3">
      <c r="B4" s="19" t="s">
        <v>40</v>
      </c>
      <c r="C4" s="19">
        <v>1</v>
      </c>
      <c r="D4" s="19">
        <v>1.8796999999999999</v>
      </c>
      <c r="E4" s="1"/>
      <c r="F4" s="1"/>
      <c r="G4" s="1"/>
      <c r="H4" s="27" t="s">
        <v>56</v>
      </c>
      <c r="I4" s="11"/>
      <c r="J4" s="11"/>
      <c r="K4" s="1"/>
      <c r="L4" s="1"/>
      <c r="M4" s="1"/>
    </row>
    <row r="5" spans="2:13" ht="15.6" x14ac:dyDescent="0.3">
      <c r="B5" s="19" t="s">
        <v>41</v>
      </c>
      <c r="C5" s="19">
        <v>0.53200000000000003</v>
      </c>
      <c r="D5" s="19">
        <v>1</v>
      </c>
      <c r="E5" s="1"/>
      <c r="F5" s="1"/>
      <c r="G5" s="1"/>
      <c r="H5" s="27" t="s">
        <v>57</v>
      </c>
      <c r="I5" s="11"/>
      <c r="J5" s="11"/>
      <c r="K5" s="1"/>
      <c r="L5" s="1"/>
      <c r="M5" s="1"/>
    </row>
    <row r="6" spans="2:13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ht="15.6" x14ac:dyDescent="0.3">
      <c r="B8" s="36" t="s">
        <v>20</v>
      </c>
      <c r="C8" s="36"/>
      <c r="D8" s="36"/>
      <c r="E8" s="36"/>
      <c r="F8" s="1"/>
      <c r="G8" s="19"/>
      <c r="H8" s="24" t="s">
        <v>49</v>
      </c>
      <c r="I8" s="25"/>
      <c r="J8" s="25"/>
      <c r="K8" s="25"/>
      <c r="L8" s="25"/>
      <c r="M8" s="26"/>
    </row>
    <row r="9" spans="2:13" ht="15.6" x14ac:dyDescent="0.3">
      <c r="B9" s="11"/>
      <c r="C9" s="11" t="s">
        <v>47</v>
      </c>
      <c r="D9" s="17" t="s">
        <v>15</v>
      </c>
      <c r="E9" s="11" t="s">
        <v>19</v>
      </c>
      <c r="F9" s="1"/>
      <c r="G9" s="34" t="s">
        <v>54</v>
      </c>
      <c r="H9" s="19" t="s">
        <v>50</v>
      </c>
      <c r="I9" s="19" t="s">
        <v>48</v>
      </c>
      <c r="J9" s="19" t="s">
        <v>51</v>
      </c>
      <c r="K9" s="19" t="s">
        <v>52</v>
      </c>
      <c r="L9" s="19" t="s">
        <v>53</v>
      </c>
      <c r="M9" s="19" t="s">
        <v>19</v>
      </c>
    </row>
    <row r="10" spans="2:13" ht="15.6" x14ac:dyDescent="0.3">
      <c r="B10" s="5" t="s">
        <v>43</v>
      </c>
      <c r="C10" s="11" t="s">
        <v>45</v>
      </c>
      <c r="D10" s="5">
        <v>0.65269999999999995</v>
      </c>
      <c r="E10" s="11"/>
      <c r="F10" s="1"/>
      <c r="G10" s="19">
        <v>1</v>
      </c>
      <c r="H10" s="19" t="s">
        <v>40</v>
      </c>
      <c r="I10" s="10" t="s">
        <v>1</v>
      </c>
      <c r="J10" s="5">
        <v>0.23980000000000001</v>
      </c>
      <c r="K10" s="5">
        <v>0.65269999999999995</v>
      </c>
      <c r="L10" s="19">
        <f xml:space="preserve"> J10*K10</f>
        <v>0.15651746</v>
      </c>
      <c r="M10" s="19"/>
    </row>
    <row r="11" spans="2:13" ht="15.6" x14ac:dyDescent="0.3">
      <c r="B11" s="5" t="s">
        <v>44</v>
      </c>
      <c r="C11" s="22" t="s">
        <v>41</v>
      </c>
      <c r="D11" s="5">
        <v>0.3473</v>
      </c>
      <c r="E11" s="11"/>
      <c r="F11" s="1"/>
      <c r="G11" s="19">
        <v>2</v>
      </c>
      <c r="H11" s="19" t="s">
        <v>40</v>
      </c>
      <c r="I11" s="10" t="s">
        <v>3</v>
      </c>
      <c r="J11" s="5">
        <v>0.16719999999999999</v>
      </c>
      <c r="K11" s="5">
        <v>0.65269999999999995</v>
      </c>
      <c r="L11" s="19">
        <f t="shared" ref="L11:L20" si="0" xml:space="preserve"> J11*K11</f>
        <v>0.10913143999999998</v>
      </c>
      <c r="M11" s="19"/>
    </row>
    <row r="12" spans="2:13" ht="15.6" x14ac:dyDescent="0.3">
      <c r="B12" s="11"/>
      <c r="C12" s="11" t="s">
        <v>17</v>
      </c>
      <c r="D12" s="11">
        <f xml:space="preserve"> SUM(D10:D11)</f>
        <v>1</v>
      </c>
      <c r="E12" s="11" t="s">
        <v>18</v>
      </c>
      <c r="F12" s="1"/>
      <c r="G12" s="19">
        <v>3</v>
      </c>
      <c r="H12" s="19" t="s">
        <v>40</v>
      </c>
      <c r="I12" s="10" t="s">
        <v>5</v>
      </c>
      <c r="J12" s="5">
        <v>0.1802</v>
      </c>
      <c r="K12" s="5">
        <v>0.65269999999999995</v>
      </c>
      <c r="L12" s="19">
        <f t="shared" si="0"/>
        <v>0.11761653999999999</v>
      </c>
      <c r="M12" s="19"/>
    </row>
    <row r="13" spans="2:13" ht="15.6" x14ac:dyDescent="0.3">
      <c r="B13" s="1"/>
      <c r="C13" s="1"/>
      <c r="D13" s="1"/>
      <c r="E13" s="1"/>
      <c r="F13" s="1"/>
      <c r="G13" s="19">
        <v>4</v>
      </c>
      <c r="H13" s="19" t="s">
        <v>40</v>
      </c>
      <c r="I13" s="10" t="s">
        <v>7</v>
      </c>
      <c r="J13" s="5">
        <v>0.1244</v>
      </c>
      <c r="K13" s="5">
        <v>0.65269999999999995</v>
      </c>
      <c r="L13" s="19">
        <f t="shared" si="0"/>
        <v>8.1195879999999998E-2</v>
      </c>
      <c r="M13" s="19"/>
    </row>
    <row r="14" spans="2:13" ht="15.6" x14ac:dyDescent="0.3">
      <c r="B14" s="1"/>
      <c r="C14" s="1"/>
      <c r="D14" s="1"/>
      <c r="E14" s="1"/>
      <c r="F14" s="1"/>
      <c r="G14" s="19">
        <v>5</v>
      </c>
      <c r="H14" s="19" t="s">
        <v>40</v>
      </c>
      <c r="I14" s="10" t="s">
        <v>9</v>
      </c>
      <c r="J14" s="5">
        <v>0.1017</v>
      </c>
      <c r="K14" s="5">
        <v>0.65269999999999995</v>
      </c>
      <c r="L14" s="19">
        <f t="shared" si="0"/>
        <v>6.6379589999999988E-2</v>
      </c>
      <c r="M14" s="19"/>
    </row>
    <row r="15" spans="2:13" ht="15.6" x14ac:dyDescent="0.3">
      <c r="B15" s="1"/>
      <c r="C15" s="1"/>
      <c r="D15" s="1"/>
      <c r="E15" s="1"/>
      <c r="F15" s="1"/>
      <c r="G15" s="19">
        <v>6</v>
      </c>
      <c r="H15" s="19" t="s">
        <v>40</v>
      </c>
      <c r="I15" s="10" t="s">
        <v>11</v>
      </c>
      <c r="J15" s="5">
        <v>0.11269999999999999</v>
      </c>
      <c r="K15" s="5">
        <v>0.65269999999999995</v>
      </c>
      <c r="L15" s="19">
        <f t="shared" si="0"/>
        <v>7.3559289999999986E-2</v>
      </c>
      <c r="M15" s="19"/>
    </row>
    <row r="16" spans="2:13" ht="15.6" x14ac:dyDescent="0.3">
      <c r="B16" s="1"/>
      <c r="C16" s="1"/>
      <c r="D16" s="1"/>
      <c r="E16" s="1"/>
      <c r="F16" s="1"/>
      <c r="G16" s="19">
        <v>7</v>
      </c>
      <c r="H16" s="19" t="s">
        <v>40</v>
      </c>
      <c r="I16" s="10" t="s">
        <v>13</v>
      </c>
      <c r="J16" s="5">
        <v>7.3999999999999996E-2</v>
      </c>
      <c r="K16" s="5">
        <v>0.65269999999999995</v>
      </c>
      <c r="L16" s="19">
        <f t="shared" si="0"/>
        <v>4.8299799999999997E-2</v>
      </c>
      <c r="M16" s="19"/>
    </row>
    <row r="17" spans="2:13" ht="15.6" x14ac:dyDescent="0.3">
      <c r="B17" s="1"/>
      <c r="C17" s="1"/>
      <c r="D17" s="1"/>
      <c r="E17" s="1"/>
      <c r="F17" s="1"/>
      <c r="G17" s="19">
        <v>8</v>
      </c>
      <c r="H17" s="19" t="s">
        <v>41</v>
      </c>
      <c r="I17" s="23" t="s">
        <v>35</v>
      </c>
      <c r="J17" s="5">
        <v>0.3014</v>
      </c>
      <c r="K17" s="5">
        <v>0.3473</v>
      </c>
      <c r="L17" s="19">
        <f t="shared" si="0"/>
        <v>0.10467622</v>
      </c>
      <c r="M17" s="19"/>
    </row>
    <row r="18" spans="2:13" ht="15.6" x14ac:dyDescent="0.3">
      <c r="B18" s="1"/>
      <c r="C18" s="1"/>
      <c r="D18" s="1"/>
      <c r="E18" s="1"/>
      <c r="F18" s="1"/>
      <c r="G18" s="19">
        <v>9</v>
      </c>
      <c r="H18" s="19" t="s">
        <v>41</v>
      </c>
      <c r="I18" s="10" t="s">
        <v>36</v>
      </c>
      <c r="J18" s="5">
        <v>0.20669999999999999</v>
      </c>
      <c r="K18" s="5">
        <v>0.3473</v>
      </c>
      <c r="L18" s="19">
        <f t="shared" si="0"/>
        <v>7.1786909999999995E-2</v>
      </c>
      <c r="M18" s="19"/>
    </row>
    <row r="19" spans="2:13" ht="15.6" x14ac:dyDescent="0.3">
      <c r="B19" s="1"/>
      <c r="C19" s="1"/>
      <c r="D19" s="1"/>
      <c r="E19" s="1"/>
      <c r="F19" s="1"/>
      <c r="G19" s="19">
        <v>10</v>
      </c>
      <c r="H19" s="19" t="s">
        <v>41</v>
      </c>
      <c r="I19" s="10" t="s">
        <v>37</v>
      </c>
      <c r="J19" s="5">
        <v>0.25030000000000002</v>
      </c>
      <c r="K19" s="5">
        <v>0.3473</v>
      </c>
      <c r="L19" s="19">
        <f t="shared" si="0"/>
        <v>8.6929190000000003E-2</v>
      </c>
      <c r="M19" s="19"/>
    </row>
    <row r="20" spans="2:13" ht="15.6" x14ac:dyDescent="0.3">
      <c r="B20" s="1"/>
      <c r="C20" s="1"/>
      <c r="D20" s="1"/>
      <c r="E20" s="1"/>
      <c r="F20" s="1"/>
      <c r="G20" s="19">
        <v>11</v>
      </c>
      <c r="H20" s="19" t="s">
        <v>41</v>
      </c>
      <c r="I20" s="23" t="s">
        <v>38</v>
      </c>
      <c r="J20" s="5">
        <v>0.24160000000000001</v>
      </c>
      <c r="K20" s="5">
        <v>0.3473</v>
      </c>
      <c r="L20" s="19">
        <f t="shared" si="0"/>
        <v>8.3907679999999998E-2</v>
      </c>
      <c r="M20" s="19"/>
    </row>
    <row r="21" spans="2:13" x14ac:dyDescent="0.3">
      <c r="B21" s="1"/>
      <c r="C21" s="1"/>
      <c r="D21" s="1"/>
      <c r="E21" s="1"/>
      <c r="F21" s="1"/>
      <c r="G21" s="19"/>
      <c r="H21" s="19"/>
      <c r="I21" s="19"/>
      <c r="J21" s="19"/>
      <c r="K21" s="19" t="s">
        <v>55</v>
      </c>
      <c r="L21" s="19">
        <f xml:space="preserve"> SUM(L10:L20)</f>
        <v>1</v>
      </c>
      <c r="M21" s="19" t="s">
        <v>18</v>
      </c>
    </row>
    <row r="22" spans="2:1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5">
    <mergeCell ref="C2:D2"/>
    <mergeCell ref="B8:E8"/>
    <mergeCell ref="H8:M8"/>
    <mergeCell ref="H2:J2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Structural Indicators</vt:lpstr>
      <vt:lpstr>For Strategic Indicators</vt:lpstr>
      <vt:lpstr>Structural Vs Strategic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2026-10-20T15:52:36Z</dcterms:created>
  <dcterms:modified xsi:type="dcterms:W3CDTF">2026-10-20T19:15:05Z</dcterms:modified>
</cp:coreProperties>
</file>